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adistribuicaocom-my.sharepoint.com/personal/leidiane_diadistribuicaocom_onmicrosoft_com/Documents/MTRIX/"/>
    </mc:Choice>
  </mc:AlternateContent>
  <xr:revisionPtr revIDLastSave="139" documentId="8_{8FB18128-FBFA-4B56-A8A4-B71505B5423D}" xr6:coauthVersionLast="47" xr6:coauthVersionMax="47" xr10:uidLastSave="{09F3DCAE-E0C7-44F6-B37E-022BA8239101}"/>
  <bookViews>
    <workbookView xWindow="-20610" yWindow="660" windowWidth="20730" windowHeight="11040" xr2:uid="{E92402F0-2966-46D2-84FD-6CDA5DE184C8}"/>
  </bookViews>
  <sheets>
    <sheet name="{worksheet}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 s="1"/>
  <c r="D24" i="1"/>
  <c r="B24" i="1"/>
  <c r="D22" i="1"/>
  <c r="E22" i="1" s="1"/>
  <c r="D20" i="1"/>
  <c r="D19" i="1"/>
  <c r="E19" i="1"/>
  <c r="E20" i="1"/>
  <c r="E21" i="1"/>
  <c r="E18" i="1"/>
  <c r="D17" i="1"/>
  <c r="E17" i="1" s="1"/>
  <c r="E14" i="1"/>
  <c r="E15" i="1"/>
  <c r="E16" i="1"/>
  <c r="E11" i="1"/>
  <c r="E12" i="1"/>
  <c r="E13" i="1"/>
  <c r="D9" i="1"/>
  <c r="E9" i="1" s="1"/>
  <c r="D8" i="1"/>
  <c r="E8" i="1" s="1"/>
  <c r="E7" i="1"/>
  <c r="E10" i="1"/>
  <c r="D6" i="1"/>
  <c r="E6" i="1" s="1"/>
  <c r="D5" i="1"/>
  <c r="E5" i="1" s="1"/>
  <c r="D4" i="1"/>
  <c r="E4" i="1" s="1"/>
  <c r="D3" i="1"/>
  <c r="E3" i="1" l="1"/>
  <c r="E24" i="1" s="1"/>
</calcChain>
</file>

<file path=xl/sharedStrings.xml><?xml version="1.0" encoding="utf-8"?>
<sst xmlns="http://schemas.openxmlformats.org/spreadsheetml/2006/main" count="166" uniqueCount="82">
  <si>
    <t>Dia</t>
  </si>
  <si>
    <t>Vendas</t>
  </si>
  <si>
    <t>Número da Semana do Mês</t>
  </si>
  <si>
    <t>SANTHER</t>
  </si>
  <si>
    <t>DIFERENÇA</t>
  </si>
  <si>
    <t>TOTAL</t>
  </si>
  <si>
    <t xml:space="preserve"> Vendas</t>
  </si>
  <si>
    <t>DIA DISTRIBUIÇÃO</t>
  </si>
  <si>
    <t>PAN VITA</t>
  </si>
  <si>
    <t>R CAVALCANTI FERREIRA-PANIFICADORA ME</t>
  </si>
  <si>
    <t>5 - ACRESCIMO 3%P5%</t>
  </si>
  <si>
    <t>91309 -P3 Fabiana Silva</t>
  </si>
  <si>
    <t>45 - RMR/ZM 3 SUL ESP MARCELO SANTOS</t>
  </si>
  <si>
    <t>14 DIAS</t>
  </si>
  <si>
    <t>4.26 %</t>
  </si>
  <si>
    <t>23.17 %</t>
  </si>
  <si>
    <t>R$ 232,87</t>
  </si>
  <si>
    <t>% Desconto</t>
  </si>
  <si>
    <t>107750 - Maria Ivanete Gerente</t>
  </si>
  <si>
    <t>FARMACIAS INDEPENDENTE</t>
  </si>
  <si>
    <t>VJ FARMA LTDA</t>
  </si>
  <si>
    <t>91310 -P3 Gleydson Melo</t>
  </si>
  <si>
    <t>28 - FARMADIA</t>
  </si>
  <si>
    <t>60 DIAS</t>
  </si>
  <si>
    <t>14.75 %</t>
  </si>
  <si>
    <t>12.21 %</t>
  </si>
  <si>
    <t>R$ 196,80</t>
  </si>
  <si>
    <t>DIAMANTE ATACADO</t>
  </si>
  <si>
    <t>DIAMANTE ATACADO LTDA</t>
  </si>
  <si>
    <t>4 - ACRESCIMO 2%P4%</t>
  </si>
  <si>
    <t>90323 -SANTIAGO</t>
  </si>
  <si>
    <t>37 - RMR/ZM 1 NORTE ESP NATIELLE</t>
  </si>
  <si>
    <t>28 DIAS</t>
  </si>
  <si>
    <t>20.22 %</t>
  </si>
  <si>
    <t>12.61 %</t>
  </si>
  <si>
    <t>R$ 4.334,00</t>
  </si>
  <si>
    <t>107952 - Islany Barros Gerente</t>
  </si>
  <si>
    <t>J R ESTRELA</t>
  </si>
  <si>
    <t>JR ESTRELA ATACADO LTDA EPP</t>
  </si>
  <si>
    <t>BONIFICACAO</t>
  </si>
  <si>
    <t>20.15 %</t>
  </si>
  <si>
    <t>0.00 %</t>
  </si>
  <si>
    <t>R$ 433,80</t>
  </si>
  <si>
    <t>J.R ESTRELA</t>
  </si>
  <si>
    <t>J.R. ESTRELA ATACADAO LTDA</t>
  </si>
  <si>
    <t>19.97 %</t>
  </si>
  <si>
    <t>R$ 1.304,20</t>
  </si>
  <si>
    <t>12.70 %</t>
  </si>
  <si>
    <t>R$ 13.002,00</t>
  </si>
  <si>
    <t>R$ 295,20</t>
  </si>
  <si>
    <t>SUPERMERCADO LUZ</t>
  </si>
  <si>
    <t>LGL SUPERMERCADO EIRELI</t>
  </si>
  <si>
    <t>136855 -FAGNER DA SILVA CORDEIRO</t>
  </si>
  <si>
    <t>41 - RMR/ZM 3 NORTE ESP MARLONI</t>
  </si>
  <si>
    <t>19.96 %</t>
  </si>
  <si>
    <t>R$ 2.987,70</t>
  </si>
  <si>
    <t>VJ FARMA TACARUNA</t>
  </si>
  <si>
    <t>14.32 %</t>
  </si>
  <si>
    <t>13.42 %</t>
  </si>
  <si>
    <t>R$ 351,12</t>
  </si>
  <si>
    <t>FARMACIA VILA DO TRABALHADOR</t>
  </si>
  <si>
    <t>DANIEL MAKSON PEREIRA DE ASSIS</t>
  </si>
  <si>
    <t>117106 -FARMA IVANDI RIBEIRO GUIMARAES JUNIOR</t>
  </si>
  <si>
    <t>14.89 %</t>
  </si>
  <si>
    <t>13.51 %</t>
  </si>
  <si>
    <t>R$ 164,56</t>
  </si>
  <si>
    <t>MERCADINHO GODOI</t>
  </si>
  <si>
    <t>MERCADINHO GODOI LTDA</t>
  </si>
  <si>
    <t>130366 -D ALEXSANDRO SILVA REGES ESP</t>
  </si>
  <si>
    <t>40 - AGRESTE 1 ESP ARTHUR</t>
  </si>
  <si>
    <t>21 DIAS</t>
  </si>
  <si>
    <t>14.99 %</t>
  </si>
  <si>
    <t>15.03 %</t>
  </si>
  <si>
    <t>R$ 295,11</t>
  </si>
  <si>
    <t>134300 - Gerente Willams Marques</t>
  </si>
  <si>
    <t>13.04 %</t>
  </si>
  <si>
    <t>16.99 %</t>
  </si>
  <si>
    <t>R$ 266,16</t>
  </si>
  <si>
    <t>Total de registros: 50</t>
  </si>
  <si>
    <t>| Média de "% Desc. pedido/orçamento": 14.85 %</t>
  </si>
  <si>
    <t>| Média de "% Lucrativ.": 10.64 %</t>
  </si>
  <si>
    <t>| 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</si>
</sst>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8" fontId="0" fillId="0" borderId="0" xfId="0" applyNumberFormat="1"/>
    <xf numFmtId="164" fontId="0" fillId="0" borderId="0" xfId="0" applyNumberFormat="1"/>
    <xf numFmtId="0" fontId="0" fillId="35" borderId="10" xfId="0" applyFill="1" applyBorder="1" applyAlignment="1">
      <alignment horizont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wrapText="1"/>
    </xf>
    <xf numFmtId="8" fontId="0" fillId="0" borderId="10" xfId="0" applyNumberFormat="1" applyBorder="1" applyAlignment="1">
      <alignment wrapText="1"/>
    </xf>
    <xf numFmtId="164" fontId="0" fillId="0" borderId="10" xfId="0" applyNumberFormat="1" applyBorder="1"/>
    <xf numFmtId="8" fontId="0" fillId="0" borderId="10" xfId="0" applyNumberFormat="1" applyBorder="1"/>
    <xf numFmtId="8" fontId="0" fillId="34" borderId="10" xfId="0" applyNumberFormat="1" applyFill="1" applyBorder="1" applyAlignment="1">
      <alignment wrapText="1"/>
    </xf>
    <xf numFmtId="0" fontId="0" fillId="34" borderId="10" xfId="0" applyFill="1" applyBorder="1" applyAlignment="1">
      <alignment wrapText="1"/>
    </xf>
    <xf numFmtId="164" fontId="0" fillId="34" borderId="10" xfId="0" applyNumberFormat="1" applyFill="1" applyBorder="1"/>
    <xf numFmtId="8" fontId="0" fillId="34" borderId="10" xfId="0" applyNumberFormat="1" applyFill="1" applyBorder="1"/>
    <xf numFmtId="0" fontId="0" fillId="36" borderId="10" xfId="0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8" fontId="0" fillId="37" borderId="10" xfId="0" applyNumberFormat="1" applyFill="1" applyBorder="1" applyAlignment="1">
      <alignment wrapText="1"/>
    </xf>
    <xf numFmtId="0" fontId="0" fillId="37" borderId="10" xfId="0" applyFill="1" applyBorder="1" applyAlignment="1">
      <alignment wrapText="1"/>
    </xf>
    <xf numFmtId="164" fontId="0" fillId="37" borderId="10" xfId="0" applyNumberFormat="1" applyFill="1" applyBorder="1"/>
    <xf numFmtId="8" fontId="0" fillId="37" borderId="10" xfId="0" applyNumberFormat="1" applyFill="1" applyBorder="1"/>
    <xf numFmtId="14" fontId="16" fillId="0" borderId="10" xfId="0" applyNumberFormat="1" applyFont="1" applyBorder="1" applyAlignment="1">
      <alignment horizontal="center" vertical="center" wrapText="1"/>
    </xf>
    <xf numFmtId="14" fontId="0" fillId="0" borderId="10" xfId="0" applyNumberFormat="1" applyBorder="1" applyAlignment="1">
      <alignment wrapText="1"/>
    </xf>
    <xf numFmtId="0" fontId="18" fillId="0" borderId="0" xfId="0" applyFont="1" applyAlignment="1">
      <alignment horizontal="left" vertical="center" indent="1"/>
    </xf>
    <xf numFmtId="14" fontId="18" fillId="0" borderId="0" xfId="0" applyNumberFormat="1" applyFont="1" applyAlignment="1">
      <alignment horizontal="left" vertical="center" indent="1"/>
    </xf>
    <xf numFmtId="0" fontId="18" fillId="0" borderId="0" xfId="0" applyFont="1" applyAlignment="1">
      <alignment vertical="center" wrapText="1"/>
    </xf>
    <xf numFmtId="0" fontId="0" fillId="33" borderId="10" xfId="0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BAC0-2142-4F31-BCDC-A08DE2100FB2}">
  <dimension ref="A1:E24"/>
  <sheetViews>
    <sheetView tabSelected="1" topLeftCell="A13" workbookViewId="0">
      <selection activeCell="D24" sqref="D24"/>
    </sheetView>
  </sheetViews>
  <sheetFormatPr defaultRowHeight="15" x14ac:dyDescent="0.25"/>
  <cols>
    <col min="1" max="1" width="13.5703125" customWidth="1"/>
    <col min="2" max="2" width="15.28515625" customWidth="1"/>
    <col min="3" max="3" width="25.85546875" bestFit="1" customWidth="1"/>
    <col min="4" max="4" width="23.28515625" customWidth="1"/>
    <col min="5" max="5" width="16" customWidth="1"/>
  </cols>
  <sheetData>
    <row r="1" spans="1:5" ht="12.75" customHeight="1" x14ac:dyDescent="0.25">
      <c r="A1" s="25" t="s">
        <v>3</v>
      </c>
      <c r="B1" s="25"/>
      <c r="C1" s="25"/>
      <c r="D1" s="3" t="s">
        <v>7</v>
      </c>
      <c r="E1" s="14" t="s">
        <v>4</v>
      </c>
    </row>
    <row r="2" spans="1:5" ht="14.25" customHeight="1" x14ac:dyDescent="0.25">
      <c r="A2" s="20" t="s">
        <v>0</v>
      </c>
      <c r="B2" s="4" t="s">
        <v>1</v>
      </c>
      <c r="C2" s="4" t="s">
        <v>2</v>
      </c>
      <c r="D2" s="15" t="s">
        <v>6</v>
      </c>
      <c r="E2" s="5"/>
    </row>
    <row r="3" spans="1:5" x14ac:dyDescent="0.25">
      <c r="A3" s="21">
        <v>46113</v>
      </c>
      <c r="B3" s="7">
        <v>81236.69</v>
      </c>
      <c r="C3" s="6">
        <v>1</v>
      </c>
      <c r="D3" s="8">
        <f>76147.75+7111.42-177.24-5818.43</f>
        <v>77263.5</v>
      </c>
      <c r="E3" s="9">
        <f t="shared" ref="E3:E13" si="0">SUM(B3-D3)</f>
        <v>3973.1900000000023</v>
      </c>
    </row>
    <row r="4" spans="1:5" x14ac:dyDescent="0.25">
      <c r="A4" s="21">
        <v>46114</v>
      </c>
      <c r="B4" s="7">
        <v>143841.85</v>
      </c>
      <c r="C4" s="6">
        <v>1</v>
      </c>
      <c r="D4" s="8">
        <f>124538.7+21841.61-110.17-2425.25</f>
        <v>143844.88999999998</v>
      </c>
      <c r="E4" s="9">
        <f t="shared" si="0"/>
        <v>-3.0399999999790452</v>
      </c>
    </row>
    <row r="5" spans="1:5" x14ac:dyDescent="0.25">
      <c r="A5" s="21">
        <v>46115</v>
      </c>
      <c r="B5" s="7">
        <v>2552.77</v>
      </c>
      <c r="C5" s="6">
        <v>1</v>
      </c>
      <c r="D5" s="8">
        <f>2453.71+98.87</f>
        <v>2552.58</v>
      </c>
      <c r="E5" s="9">
        <f t="shared" si="0"/>
        <v>0.19000000000005457</v>
      </c>
    </row>
    <row r="6" spans="1:5" x14ac:dyDescent="0.25">
      <c r="A6" s="21">
        <v>46116</v>
      </c>
      <c r="B6" s="7">
        <v>252519.43</v>
      </c>
      <c r="C6" s="6">
        <v>1</v>
      </c>
      <c r="D6" s="8">
        <f>218535.31+33985.01</f>
        <v>252520.32000000001</v>
      </c>
      <c r="E6" s="9">
        <f t="shared" si="0"/>
        <v>-0.89000000001396984</v>
      </c>
    </row>
    <row r="7" spans="1:5" x14ac:dyDescent="0.25">
      <c r="A7" s="21">
        <v>46117</v>
      </c>
      <c r="B7" s="10">
        <v>0</v>
      </c>
      <c r="C7" s="11">
        <v>2</v>
      </c>
      <c r="D7" s="12">
        <v>0</v>
      </c>
      <c r="E7" s="13">
        <f t="shared" si="0"/>
        <v>0</v>
      </c>
    </row>
    <row r="8" spans="1:5" x14ac:dyDescent="0.25">
      <c r="A8" s="21">
        <v>46118</v>
      </c>
      <c r="B8" s="7">
        <v>25428.32</v>
      </c>
      <c r="C8" s="6">
        <v>2</v>
      </c>
      <c r="D8" s="8">
        <f>31055.91+5174.62-165.93-6623.65</f>
        <v>29440.949999999997</v>
      </c>
      <c r="E8" s="9">
        <f t="shared" si="0"/>
        <v>-4012.6299999999974</v>
      </c>
    </row>
    <row r="9" spans="1:5" x14ac:dyDescent="0.25">
      <c r="A9" s="21">
        <v>46119</v>
      </c>
      <c r="B9" s="7">
        <v>26961.16</v>
      </c>
      <c r="C9" s="6">
        <v>2</v>
      </c>
      <c r="D9" s="8">
        <f>28060.49+2338.99-554.58-2884.17</f>
        <v>26960.730000000003</v>
      </c>
      <c r="E9" s="9">
        <f t="shared" si="0"/>
        <v>0.42999999999665306</v>
      </c>
    </row>
    <row r="10" spans="1:5" x14ac:dyDescent="0.25">
      <c r="A10" s="21">
        <v>46120</v>
      </c>
      <c r="B10" s="16">
        <v>44267.9</v>
      </c>
      <c r="C10" s="17">
        <v>2</v>
      </c>
      <c r="D10" s="18">
        <v>44268</v>
      </c>
      <c r="E10" s="19">
        <f t="shared" si="0"/>
        <v>-9.9999999998544808E-2</v>
      </c>
    </row>
    <row r="11" spans="1:5" x14ac:dyDescent="0.25">
      <c r="A11" s="21">
        <v>46121</v>
      </c>
      <c r="B11" s="16">
        <v>3048.99</v>
      </c>
      <c r="C11" s="17">
        <v>2</v>
      </c>
      <c r="D11" s="18">
        <v>3048.77</v>
      </c>
      <c r="E11" s="19">
        <f t="shared" si="0"/>
        <v>0.21999999999979991</v>
      </c>
    </row>
    <row r="12" spans="1:5" x14ac:dyDescent="0.25">
      <c r="A12" s="21">
        <v>46122</v>
      </c>
      <c r="B12" s="16">
        <v>39400.660000000003</v>
      </c>
      <c r="C12" s="17">
        <v>2</v>
      </c>
      <c r="D12" s="18">
        <v>39441.96</v>
      </c>
      <c r="E12" s="19">
        <f t="shared" si="0"/>
        <v>-41.299999999995634</v>
      </c>
    </row>
    <row r="13" spans="1:5" x14ac:dyDescent="0.25">
      <c r="A13" s="21">
        <v>46123</v>
      </c>
      <c r="B13" s="16">
        <v>91844.44</v>
      </c>
      <c r="C13" s="17">
        <v>2</v>
      </c>
      <c r="D13" s="18">
        <v>91841.19</v>
      </c>
      <c r="E13" s="19">
        <f t="shared" si="0"/>
        <v>3.25</v>
      </c>
    </row>
    <row r="14" spans="1:5" x14ac:dyDescent="0.25">
      <c r="A14" s="21">
        <v>46124</v>
      </c>
      <c r="B14" s="10">
        <v>0</v>
      </c>
      <c r="C14" s="11">
        <v>2</v>
      </c>
      <c r="D14" s="12">
        <v>0</v>
      </c>
      <c r="E14" s="13">
        <f t="shared" ref="E14:E17" si="1">SUM(B14-D14)</f>
        <v>0</v>
      </c>
    </row>
    <row r="15" spans="1:5" x14ac:dyDescent="0.25">
      <c r="A15" s="21">
        <v>46125</v>
      </c>
      <c r="B15" s="16">
        <v>14156.49</v>
      </c>
      <c r="C15" s="17">
        <v>3</v>
      </c>
      <c r="D15" s="18">
        <v>14156.56</v>
      </c>
      <c r="E15" s="19">
        <f t="shared" si="1"/>
        <v>-6.9999999999708962E-2</v>
      </c>
    </row>
    <row r="16" spans="1:5" x14ac:dyDescent="0.25">
      <c r="A16" s="21">
        <v>46126</v>
      </c>
      <c r="B16" s="16">
        <v>174229.28</v>
      </c>
      <c r="C16" s="17">
        <v>3</v>
      </c>
      <c r="D16" s="18">
        <v>174225.01</v>
      </c>
      <c r="E16" s="19">
        <f t="shared" si="1"/>
        <v>4.2699999999895226</v>
      </c>
    </row>
    <row r="17" spans="1:5" x14ac:dyDescent="0.25">
      <c r="A17" s="21">
        <v>46127</v>
      </c>
      <c r="B17" s="16">
        <v>49276.19</v>
      </c>
      <c r="C17" s="17">
        <v>3</v>
      </c>
      <c r="D17" s="18">
        <f>47644.85+5067.85-68.9-3366.65</f>
        <v>49277.149999999994</v>
      </c>
      <c r="E17" s="19">
        <f t="shared" si="1"/>
        <v>-0.95999999999185093</v>
      </c>
    </row>
    <row r="18" spans="1:5" x14ac:dyDescent="0.25">
      <c r="A18" s="21">
        <v>46128</v>
      </c>
      <c r="B18" s="16">
        <v>94181.04</v>
      </c>
      <c r="C18" s="17">
        <v>3</v>
      </c>
      <c r="D18" s="18">
        <v>94181.61</v>
      </c>
      <c r="E18" s="19">
        <f t="shared" ref="E18" si="2">SUM(B18-D18)</f>
        <v>-0.57000000000698492</v>
      </c>
    </row>
    <row r="19" spans="1:5" x14ac:dyDescent="0.25">
      <c r="A19" s="21">
        <v>46129</v>
      </c>
      <c r="B19" s="16">
        <v>64988.35</v>
      </c>
      <c r="C19" s="17">
        <v>3</v>
      </c>
      <c r="D19" s="18">
        <f>65456.19+5290.9-105.66-5654.3</f>
        <v>64987.12999999999</v>
      </c>
      <c r="E19" s="19">
        <f t="shared" ref="E19:E23" si="3">SUM(B19-D19)</f>
        <v>1.2200000000084401</v>
      </c>
    </row>
    <row r="20" spans="1:5" x14ac:dyDescent="0.25">
      <c r="A20" s="21">
        <v>46130</v>
      </c>
      <c r="B20" s="16">
        <v>221657.3</v>
      </c>
      <c r="C20" s="17">
        <v>3</v>
      </c>
      <c r="D20" s="18">
        <f>203998.93+17653.84</f>
        <v>221652.77</v>
      </c>
      <c r="E20" s="19">
        <f t="shared" si="3"/>
        <v>4.5299999999988358</v>
      </c>
    </row>
    <row r="21" spans="1:5" x14ac:dyDescent="0.25">
      <c r="A21" s="21">
        <v>46131</v>
      </c>
      <c r="B21" s="10">
        <v>0</v>
      </c>
      <c r="C21" s="11">
        <v>4</v>
      </c>
      <c r="D21" s="12">
        <v>0</v>
      </c>
      <c r="E21" s="13">
        <f t="shared" si="3"/>
        <v>0</v>
      </c>
    </row>
    <row r="22" spans="1:5" x14ac:dyDescent="0.25">
      <c r="A22" s="21">
        <v>46132</v>
      </c>
      <c r="B22" s="16">
        <v>-11546.79</v>
      </c>
      <c r="C22" s="17">
        <v>4</v>
      </c>
      <c r="D22" s="18">
        <f>493.04-442.04-11662.45</f>
        <v>-11611.45</v>
      </c>
      <c r="E22" s="19">
        <f t="shared" si="3"/>
        <v>64.659999999999854</v>
      </c>
    </row>
    <row r="23" spans="1:5" x14ac:dyDescent="0.25">
      <c r="A23" s="21">
        <v>46133</v>
      </c>
      <c r="B23" s="16">
        <v>24187.59</v>
      </c>
      <c r="C23" s="17">
        <v>4</v>
      </c>
      <c r="D23" s="18">
        <f>20666.38+3521.15</f>
        <v>24187.530000000002</v>
      </c>
      <c r="E23" s="19">
        <f t="shared" si="3"/>
        <v>5.9999999997671694E-2</v>
      </c>
    </row>
    <row r="24" spans="1:5" x14ac:dyDescent="0.25">
      <c r="A24" t="s">
        <v>5</v>
      </c>
      <c r="B24" s="1">
        <f>SUM(B3:B23)</f>
        <v>1342231.6600000001</v>
      </c>
      <c r="D24" s="2">
        <f>SUM(D3:D23)</f>
        <v>1342239.2</v>
      </c>
      <c r="E24" s="1">
        <f>SUM(E3:E17)</f>
        <v>-77.439999999987776</v>
      </c>
    </row>
  </sheetData>
  <mergeCells count="1">
    <mergeCell ref="A1:C1"/>
  </mergeCells>
  <pageMargins left="0.78740157499999996" right="0.78740157499999996" top="0.984251969" bottom="0.984251969" header="0.4921259845" footer="0.49212598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C9D7-1E88-4172-A393-7785AE3283BD}">
  <dimension ref="A1:A200"/>
  <sheetViews>
    <sheetView workbookViewId="0">
      <selection activeCell="A2" sqref="A2"/>
    </sheetView>
  </sheetViews>
  <sheetFormatPr defaultRowHeight="15" x14ac:dyDescent="0.25"/>
  <cols>
    <col min="1" max="1" width="105.28515625" customWidth="1"/>
  </cols>
  <sheetData>
    <row r="1" spans="1:1" x14ac:dyDescent="0.25">
      <c r="A1" s="22">
        <v>7655</v>
      </c>
    </row>
    <row r="2" spans="1:1" x14ac:dyDescent="0.25">
      <c r="A2" s="22" t="s">
        <v>8</v>
      </c>
    </row>
    <row r="3" spans="1:1" x14ac:dyDescent="0.25">
      <c r="A3" s="22" t="s">
        <v>9</v>
      </c>
    </row>
    <row r="4" spans="1:1" x14ac:dyDescent="0.25">
      <c r="A4" s="22" t="s">
        <v>10</v>
      </c>
    </row>
    <row r="5" spans="1:1" x14ac:dyDescent="0.25">
      <c r="A5" s="23">
        <v>46129</v>
      </c>
    </row>
    <row r="6" spans="1:1" x14ac:dyDescent="0.25">
      <c r="A6" s="22" t="s">
        <v>11</v>
      </c>
    </row>
    <row r="7" spans="1:1" x14ac:dyDescent="0.25">
      <c r="A7" s="22" t="s">
        <v>12</v>
      </c>
    </row>
    <row r="8" spans="1:1" x14ac:dyDescent="0.25">
      <c r="A8" s="22">
        <v>1</v>
      </c>
    </row>
    <row r="9" spans="1:1" x14ac:dyDescent="0.25">
      <c r="A9" s="22" t="s">
        <v>13</v>
      </c>
    </row>
    <row r="10" spans="1:1" x14ac:dyDescent="0.25">
      <c r="A10" s="22" t="s">
        <v>14</v>
      </c>
    </row>
    <row r="11" spans="1:1" x14ac:dyDescent="0.25">
      <c r="A11" s="22" t="s">
        <v>15</v>
      </c>
    </row>
    <row r="12" spans="1:1" x14ac:dyDescent="0.25">
      <c r="A12" s="22" t="s">
        <v>16</v>
      </c>
    </row>
    <row r="13" spans="1:1" x14ac:dyDescent="0.25">
      <c r="A13" s="22" t="s">
        <v>17</v>
      </c>
    </row>
    <row r="14" spans="1:1" x14ac:dyDescent="0.25">
      <c r="A14" s="22" t="s">
        <v>18</v>
      </c>
    </row>
    <row r="15" spans="1:1" x14ac:dyDescent="0.25">
      <c r="A15" s="22">
        <v>13214</v>
      </c>
    </row>
    <row r="16" spans="1:1" x14ac:dyDescent="0.25">
      <c r="A16" s="22" t="s">
        <v>19</v>
      </c>
    </row>
    <row r="17" spans="1:1" x14ac:dyDescent="0.25">
      <c r="A17" s="22" t="s">
        <v>20</v>
      </c>
    </row>
    <row r="18" spans="1:1" x14ac:dyDescent="0.25">
      <c r="A18" s="22" t="s">
        <v>10</v>
      </c>
    </row>
    <row r="19" spans="1:1" x14ac:dyDescent="0.25">
      <c r="A19" s="23">
        <v>46129</v>
      </c>
    </row>
    <row r="20" spans="1:1" x14ac:dyDescent="0.25">
      <c r="A20" s="22" t="s">
        <v>21</v>
      </c>
    </row>
    <row r="21" spans="1:1" x14ac:dyDescent="0.25">
      <c r="A21" s="22" t="s">
        <v>22</v>
      </c>
    </row>
    <row r="22" spans="1:1" x14ac:dyDescent="0.25">
      <c r="A22" s="22">
        <v>1</v>
      </c>
    </row>
    <row r="23" spans="1:1" x14ac:dyDescent="0.25">
      <c r="A23" s="22" t="s">
        <v>23</v>
      </c>
    </row>
    <row r="24" spans="1:1" x14ac:dyDescent="0.25">
      <c r="A24" s="22" t="s">
        <v>24</v>
      </c>
    </row>
    <row r="25" spans="1:1" x14ac:dyDescent="0.25">
      <c r="A25" s="22" t="s">
        <v>25</v>
      </c>
    </row>
    <row r="26" spans="1:1" x14ac:dyDescent="0.25">
      <c r="A26" s="22" t="s">
        <v>26</v>
      </c>
    </row>
    <row r="27" spans="1:1" x14ac:dyDescent="0.25">
      <c r="A27" s="22" t="s">
        <v>17</v>
      </c>
    </row>
    <row r="28" spans="1:1" x14ac:dyDescent="0.25">
      <c r="A28" s="22" t="s">
        <v>18</v>
      </c>
    </row>
    <row r="29" spans="1:1" x14ac:dyDescent="0.25">
      <c r="A29" s="22">
        <v>14198</v>
      </c>
    </row>
    <row r="30" spans="1:1" x14ac:dyDescent="0.25">
      <c r="A30" s="22" t="s">
        <v>27</v>
      </c>
    </row>
    <row r="31" spans="1:1" x14ac:dyDescent="0.25">
      <c r="A31" s="22" t="s">
        <v>28</v>
      </c>
    </row>
    <row r="32" spans="1:1" x14ac:dyDescent="0.25">
      <c r="A32" s="22" t="s">
        <v>29</v>
      </c>
    </row>
    <row r="33" spans="1:1" x14ac:dyDescent="0.25">
      <c r="A33" s="23">
        <v>46129</v>
      </c>
    </row>
    <row r="34" spans="1:1" x14ac:dyDescent="0.25">
      <c r="A34" s="22" t="s">
        <v>30</v>
      </c>
    </row>
    <row r="35" spans="1:1" x14ac:dyDescent="0.25">
      <c r="A35" s="22" t="s">
        <v>31</v>
      </c>
    </row>
    <row r="36" spans="1:1" x14ac:dyDescent="0.25">
      <c r="A36" s="22">
        <v>1</v>
      </c>
    </row>
    <row r="37" spans="1:1" x14ac:dyDescent="0.25">
      <c r="A37" s="22" t="s">
        <v>32</v>
      </c>
    </row>
    <row r="38" spans="1:1" x14ac:dyDescent="0.25">
      <c r="A38" s="22" t="s">
        <v>33</v>
      </c>
    </row>
    <row r="39" spans="1:1" x14ac:dyDescent="0.25">
      <c r="A39" s="22" t="s">
        <v>34</v>
      </c>
    </row>
    <row r="40" spans="1:1" x14ac:dyDescent="0.25">
      <c r="A40" s="22" t="s">
        <v>35</v>
      </c>
    </row>
    <row r="41" spans="1:1" x14ac:dyDescent="0.25">
      <c r="A41" s="22" t="s">
        <v>17</v>
      </c>
    </row>
    <row r="42" spans="1:1" x14ac:dyDescent="0.25">
      <c r="A42" s="22" t="s">
        <v>36</v>
      </c>
    </row>
    <row r="43" spans="1:1" x14ac:dyDescent="0.25">
      <c r="A43" s="22">
        <v>2779</v>
      </c>
    </row>
    <row r="44" spans="1:1" x14ac:dyDescent="0.25">
      <c r="A44" s="22" t="s">
        <v>37</v>
      </c>
    </row>
    <row r="45" spans="1:1" x14ac:dyDescent="0.25">
      <c r="A45" s="22" t="s">
        <v>38</v>
      </c>
    </row>
    <row r="46" spans="1:1" x14ac:dyDescent="0.25">
      <c r="A46" s="22" t="s">
        <v>29</v>
      </c>
    </row>
    <row r="47" spans="1:1" x14ac:dyDescent="0.25">
      <c r="A47" s="23">
        <v>46129</v>
      </c>
    </row>
    <row r="48" spans="1:1" x14ac:dyDescent="0.25">
      <c r="A48" s="22" t="s">
        <v>30</v>
      </c>
    </row>
    <row r="49" spans="1:1" x14ac:dyDescent="0.25">
      <c r="A49" s="22" t="s">
        <v>31</v>
      </c>
    </row>
    <row r="50" spans="1:1" x14ac:dyDescent="0.25">
      <c r="A50" s="22">
        <v>1</v>
      </c>
    </row>
    <row r="51" spans="1:1" x14ac:dyDescent="0.25">
      <c r="A51" s="22" t="s">
        <v>39</v>
      </c>
    </row>
    <row r="52" spans="1:1" x14ac:dyDescent="0.25">
      <c r="A52" s="22" t="s">
        <v>40</v>
      </c>
    </row>
    <row r="53" spans="1:1" x14ac:dyDescent="0.25">
      <c r="A53" s="22" t="s">
        <v>41</v>
      </c>
    </row>
    <row r="54" spans="1:1" x14ac:dyDescent="0.25">
      <c r="A54" s="22" t="s">
        <v>42</v>
      </c>
    </row>
    <row r="55" spans="1:1" x14ac:dyDescent="0.25">
      <c r="A55" s="22" t="s">
        <v>17</v>
      </c>
    </row>
    <row r="56" spans="1:1" x14ac:dyDescent="0.25">
      <c r="A56" s="22" t="s">
        <v>36</v>
      </c>
    </row>
    <row r="57" spans="1:1" x14ac:dyDescent="0.25">
      <c r="A57" s="22">
        <v>13206</v>
      </c>
    </row>
    <row r="58" spans="1:1" x14ac:dyDescent="0.25">
      <c r="A58" s="22" t="s">
        <v>19</v>
      </c>
    </row>
    <row r="59" spans="1:1" x14ac:dyDescent="0.25">
      <c r="A59" s="22" t="s">
        <v>20</v>
      </c>
    </row>
    <row r="60" spans="1:1" x14ac:dyDescent="0.25">
      <c r="A60" s="22" t="s">
        <v>10</v>
      </c>
    </row>
    <row r="61" spans="1:1" x14ac:dyDescent="0.25">
      <c r="A61" s="23">
        <v>46129</v>
      </c>
    </row>
    <row r="62" spans="1:1" x14ac:dyDescent="0.25">
      <c r="A62" s="22" t="s">
        <v>21</v>
      </c>
    </row>
    <row r="63" spans="1:1" x14ac:dyDescent="0.25">
      <c r="A63" s="22" t="s">
        <v>22</v>
      </c>
    </row>
    <row r="64" spans="1:1" x14ac:dyDescent="0.25">
      <c r="A64" s="22">
        <v>1</v>
      </c>
    </row>
    <row r="65" spans="1:1" x14ac:dyDescent="0.25">
      <c r="A65" s="22" t="s">
        <v>23</v>
      </c>
    </row>
    <row r="66" spans="1:1" x14ac:dyDescent="0.25">
      <c r="A66" s="22" t="s">
        <v>24</v>
      </c>
    </row>
    <row r="67" spans="1:1" x14ac:dyDescent="0.25">
      <c r="A67" s="22" t="s">
        <v>25</v>
      </c>
    </row>
    <row r="68" spans="1:1" x14ac:dyDescent="0.25">
      <c r="A68" s="22" t="s">
        <v>26</v>
      </c>
    </row>
    <row r="69" spans="1:1" x14ac:dyDescent="0.25">
      <c r="A69" s="22" t="s">
        <v>17</v>
      </c>
    </row>
    <row r="70" spans="1:1" x14ac:dyDescent="0.25">
      <c r="A70" s="22" t="s">
        <v>18</v>
      </c>
    </row>
    <row r="71" spans="1:1" x14ac:dyDescent="0.25">
      <c r="A71" s="22">
        <v>2779</v>
      </c>
    </row>
    <row r="72" spans="1:1" x14ac:dyDescent="0.25">
      <c r="A72" s="22" t="s">
        <v>37</v>
      </c>
    </row>
    <row r="73" spans="1:1" x14ac:dyDescent="0.25">
      <c r="A73" s="22" t="s">
        <v>38</v>
      </c>
    </row>
    <row r="74" spans="1:1" x14ac:dyDescent="0.25">
      <c r="A74" s="22" t="s">
        <v>29</v>
      </c>
    </row>
    <row r="75" spans="1:1" x14ac:dyDescent="0.25">
      <c r="A75" s="23">
        <v>46129</v>
      </c>
    </row>
    <row r="76" spans="1:1" x14ac:dyDescent="0.25">
      <c r="A76" s="22" t="s">
        <v>30</v>
      </c>
    </row>
    <row r="77" spans="1:1" x14ac:dyDescent="0.25">
      <c r="A77" s="22" t="s">
        <v>31</v>
      </c>
    </row>
    <row r="78" spans="1:1" x14ac:dyDescent="0.25">
      <c r="A78" s="22">
        <v>1</v>
      </c>
    </row>
    <row r="79" spans="1:1" x14ac:dyDescent="0.25">
      <c r="A79" s="22" t="s">
        <v>32</v>
      </c>
    </row>
    <row r="80" spans="1:1" x14ac:dyDescent="0.25">
      <c r="A80" s="22" t="s">
        <v>33</v>
      </c>
    </row>
    <row r="81" spans="1:1" x14ac:dyDescent="0.25">
      <c r="A81" s="22" t="s">
        <v>34</v>
      </c>
    </row>
    <row r="82" spans="1:1" x14ac:dyDescent="0.25">
      <c r="A82" s="22" t="s">
        <v>35</v>
      </c>
    </row>
    <row r="83" spans="1:1" x14ac:dyDescent="0.25">
      <c r="A83" s="22" t="s">
        <v>17</v>
      </c>
    </row>
    <row r="84" spans="1:1" x14ac:dyDescent="0.25">
      <c r="A84" s="22" t="s">
        <v>36</v>
      </c>
    </row>
    <row r="85" spans="1:1" x14ac:dyDescent="0.25">
      <c r="A85" s="22">
        <v>1061</v>
      </c>
    </row>
    <row r="86" spans="1:1" x14ac:dyDescent="0.25">
      <c r="A86" s="22" t="s">
        <v>43</v>
      </c>
    </row>
    <row r="87" spans="1:1" x14ac:dyDescent="0.25">
      <c r="A87" s="22" t="s">
        <v>44</v>
      </c>
    </row>
    <row r="88" spans="1:1" x14ac:dyDescent="0.25">
      <c r="A88" s="22" t="s">
        <v>29</v>
      </c>
    </row>
    <row r="89" spans="1:1" x14ac:dyDescent="0.25">
      <c r="A89" s="23">
        <v>46129</v>
      </c>
    </row>
    <row r="90" spans="1:1" x14ac:dyDescent="0.25">
      <c r="A90" s="22" t="s">
        <v>30</v>
      </c>
    </row>
    <row r="91" spans="1:1" x14ac:dyDescent="0.25">
      <c r="A91" s="22" t="s">
        <v>31</v>
      </c>
    </row>
    <row r="92" spans="1:1" x14ac:dyDescent="0.25">
      <c r="A92" s="22">
        <v>1</v>
      </c>
    </row>
    <row r="93" spans="1:1" x14ac:dyDescent="0.25">
      <c r="A93" s="22" t="s">
        <v>39</v>
      </c>
    </row>
    <row r="94" spans="1:1" x14ac:dyDescent="0.25">
      <c r="A94" s="22" t="s">
        <v>45</v>
      </c>
    </row>
    <row r="95" spans="1:1" x14ac:dyDescent="0.25">
      <c r="A95" s="22" t="s">
        <v>41</v>
      </c>
    </row>
    <row r="96" spans="1:1" x14ac:dyDescent="0.25">
      <c r="A96" s="22" t="s">
        <v>46</v>
      </c>
    </row>
    <row r="97" spans="1:1" x14ac:dyDescent="0.25">
      <c r="A97" s="22" t="s">
        <v>17</v>
      </c>
    </row>
    <row r="98" spans="1:1" x14ac:dyDescent="0.25">
      <c r="A98" s="22" t="s">
        <v>36</v>
      </c>
    </row>
    <row r="99" spans="1:1" x14ac:dyDescent="0.25">
      <c r="A99" s="22">
        <v>1061</v>
      </c>
    </row>
    <row r="100" spans="1:1" x14ac:dyDescent="0.25">
      <c r="A100" s="22" t="s">
        <v>43</v>
      </c>
    </row>
    <row r="101" spans="1:1" x14ac:dyDescent="0.25">
      <c r="A101" s="22" t="s">
        <v>44</v>
      </c>
    </row>
    <row r="102" spans="1:1" x14ac:dyDescent="0.25">
      <c r="A102" s="22" t="s">
        <v>29</v>
      </c>
    </row>
    <row r="103" spans="1:1" x14ac:dyDescent="0.25">
      <c r="A103" s="23">
        <v>46129</v>
      </c>
    </row>
    <row r="104" spans="1:1" x14ac:dyDescent="0.25">
      <c r="A104" s="22" t="s">
        <v>30</v>
      </c>
    </row>
    <row r="105" spans="1:1" x14ac:dyDescent="0.25">
      <c r="A105" s="22" t="s">
        <v>31</v>
      </c>
    </row>
    <row r="106" spans="1:1" x14ac:dyDescent="0.25">
      <c r="A106" s="22">
        <v>1</v>
      </c>
    </row>
    <row r="107" spans="1:1" x14ac:dyDescent="0.25">
      <c r="A107" s="22" t="s">
        <v>32</v>
      </c>
    </row>
    <row r="108" spans="1:1" x14ac:dyDescent="0.25">
      <c r="A108" s="22" t="s">
        <v>33</v>
      </c>
    </row>
    <row r="109" spans="1:1" x14ac:dyDescent="0.25">
      <c r="A109" s="22" t="s">
        <v>47</v>
      </c>
    </row>
    <row r="110" spans="1:1" x14ac:dyDescent="0.25">
      <c r="A110" s="22" t="s">
        <v>48</v>
      </c>
    </row>
    <row r="111" spans="1:1" x14ac:dyDescent="0.25">
      <c r="A111" s="22" t="s">
        <v>17</v>
      </c>
    </row>
    <row r="112" spans="1:1" x14ac:dyDescent="0.25">
      <c r="A112" s="22" t="s">
        <v>36</v>
      </c>
    </row>
    <row r="113" spans="1:1" x14ac:dyDescent="0.25">
      <c r="A113" s="22">
        <v>13205</v>
      </c>
    </row>
    <row r="114" spans="1:1" x14ac:dyDescent="0.25">
      <c r="A114" s="22" t="s">
        <v>19</v>
      </c>
    </row>
    <row r="115" spans="1:1" x14ac:dyDescent="0.25">
      <c r="A115" s="22" t="s">
        <v>20</v>
      </c>
    </row>
    <row r="116" spans="1:1" x14ac:dyDescent="0.25">
      <c r="A116" s="22" t="s">
        <v>10</v>
      </c>
    </row>
    <row r="117" spans="1:1" x14ac:dyDescent="0.25">
      <c r="A117" s="23">
        <v>46129</v>
      </c>
    </row>
    <row r="118" spans="1:1" x14ac:dyDescent="0.25">
      <c r="A118" s="22" t="s">
        <v>21</v>
      </c>
    </row>
    <row r="119" spans="1:1" x14ac:dyDescent="0.25">
      <c r="A119" s="22" t="s">
        <v>22</v>
      </c>
    </row>
    <row r="120" spans="1:1" x14ac:dyDescent="0.25">
      <c r="A120" s="22">
        <v>1</v>
      </c>
    </row>
    <row r="121" spans="1:1" x14ac:dyDescent="0.25">
      <c r="A121" s="22" t="s">
        <v>23</v>
      </c>
    </row>
    <row r="122" spans="1:1" x14ac:dyDescent="0.25">
      <c r="A122" s="22" t="s">
        <v>24</v>
      </c>
    </row>
    <row r="123" spans="1:1" x14ac:dyDescent="0.25">
      <c r="A123" s="22" t="s">
        <v>25</v>
      </c>
    </row>
    <row r="124" spans="1:1" x14ac:dyDescent="0.25">
      <c r="A124" s="22" t="s">
        <v>49</v>
      </c>
    </row>
    <row r="125" spans="1:1" x14ac:dyDescent="0.25">
      <c r="A125" s="22" t="s">
        <v>17</v>
      </c>
    </row>
    <row r="126" spans="1:1" x14ac:dyDescent="0.25">
      <c r="A126" s="22" t="s">
        <v>18</v>
      </c>
    </row>
    <row r="127" spans="1:1" x14ac:dyDescent="0.25">
      <c r="A127" s="22">
        <v>18363</v>
      </c>
    </row>
    <row r="128" spans="1:1" x14ac:dyDescent="0.25">
      <c r="A128" s="22" t="s">
        <v>50</v>
      </c>
    </row>
    <row r="129" spans="1:1" x14ac:dyDescent="0.25">
      <c r="A129" s="22" t="s">
        <v>51</v>
      </c>
    </row>
    <row r="130" spans="1:1" x14ac:dyDescent="0.25">
      <c r="A130" s="22" t="s">
        <v>29</v>
      </c>
    </row>
    <row r="131" spans="1:1" x14ac:dyDescent="0.25">
      <c r="A131" s="23">
        <v>46129</v>
      </c>
    </row>
    <row r="132" spans="1:1" x14ac:dyDescent="0.25">
      <c r="A132" s="22" t="s">
        <v>52</v>
      </c>
    </row>
    <row r="133" spans="1:1" x14ac:dyDescent="0.25">
      <c r="A133" s="22" t="s">
        <v>53</v>
      </c>
    </row>
    <row r="134" spans="1:1" x14ac:dyDescent="0.25">
      <c r="A134" s="22">
        <v>1</v>
      </c>
    </row>
    <row r="135" spans="1:1" x14ac:dyDescent="0.25">
      <c r="A135" s="22" t="s">
        <v>39</v>
      </c>
    </row>
    <row r="136" spans="1:1" x14ac:dyDescent="0.25">
      <c r="A136" s="22" t="s">
        <v>54</v>
      </c>
    </row>
    <row r="137" spans="1:1" x14ac:dyDescent="0.25">
      <c r="A137" s="22" t="s">
        <v>41</v>
      </c>
    </row>
    <row r="138" spans="1:1" x14ac:dyDescent="0.25">
      <c r="A138" s="22" t="s">
        <v>55</v>
      </c>
    </row>
    <row r="139" spans="1:1" x14ac:dyDescent="0.25">
      <c r="A139" s="22" t="s">
        <v>17</v>
      </c>
    </row>
    <row r="140" spans="1:1" x14ac:dyDescent="0.25">
      <c r="A140" s="22" t="s">
        <v>36</v>
      </c>
    </row>
    <row r="141" spans="1:1" x14ac:dyDescent="0.25">
      <c r="A141" s="22">
        <v>13848</v>
      </c>
    </row>
    <row r="142" spans="1:1" x14ac:dyDescent="0.25">
      <c r="A142" s="22" t="s">
        <v>56</v>
      </c>
    </row>
    <row r="143" spans="1:1" x14ac:dyDescent="0.25">
      <c r="A143" s="22" t="s">
        <v>20</v>
      </c>
    </row>
    <row r="144" spans="1:1" x14ac:dyDescent="0.25">
      <c r="A144" s="22" t="s">
        <v>10</v>
      </c>
    </row>
    <row r="145" spans="1:1" x14ac:dyDescent="0.25">
      <c r="A145" s="23">
        <v>46129</v>
      </c>
    </row>
    <row r="146" spans="1:1" x14ac:dyDescent="0.25">
      <c r="A146" s="22" t="s">
        <v>21</v>
      </c>
    </row>
    <row r="147" spans="1:1" x14ac:dyDescent="0.25">
      <c r="A147" s="22" t="s">
        <v>22</v>
      </c>
    </row>
    <row r="148" spans="1:1" x14ac:dyDescent="0.25">
      <c r="A148" s="22">
        <v>1</v>
      </c>
    </row>
    <row r="149" spans="1:1" x14ac:dyDescent="0.25">
      <c r="A149" s="22" t="s">
        <v>23</v>
      </c>
    </row>
    <row r="150" spans="1:1" x14ac:dyDescent="0.25">
      <c r="A150" s="22" t="s">
        <v>57</v>
      </c>
    </row>
    <row r="151" spans="1:1" x14ac:dyDescent="0.25">
      <c r="A151" s="22" t="s">
        <v>58</v>
      </c>
    </row>
    <row r="152" spans="1:1" x14ac:dyDescent="0.25">
      <c r="A152" s="22" t="s">
        <v>59</v>
      </c>
    </row>
    <row r="153" spans="1:1" x14ac:dyDescent="0.25">
      <c r="A153" s="22" t="s">
        <v>17</v>
      </c>
    </row>
    <row r="154" spans="1:1" x14ac:dyDescent="0.25">
      <c r="A154" s="22" t="s">
        <v>18</v>
      </c>
    </row>
    <row r="155" spans="1:1" x14ac:dyDescent="0.25">
      <c r="A155" s="22">
        <v>35409</v>
      </c>
    </row>
    <row r="156" spans="1:1" x14ac:dyDescent="0.25">
      <c r="A156" s="22" t="s">
        <v>60</v>
      </c>
    </row>
    <row r="157" spans="1:1" x14ac:dyDescent="0.25">
      <c r="A157" s="22" t="s">
        <v>61</v>
      </c>
    </row>
    <row r="158" spans="1:1" x14ac:dyDescent="0.25">
      <c r="A158" s="22" t="s">
        <v>10</v>
      </c>
    </row>
    <row r="159" spans="1:1" x14ac:dyDescent="0.25">
      <c r="A159" s="23">
        <v>46129</v>
      </c>
    </row>
    <row r="160" spans="1:1" x14ac:dyDescent="0.25">
      <c r="A160" s="22" t="s">
        <v>62</v>
      </c>
    </row>
    <row r="161" spans="1:1" x14ac:dyDescent="0.25">
      <c r="A161" s="22" t="s">
        <v>22</v>
      </c>
    </row>
    <row r="162" spans="1:1" x14ac:dyDescent="0.25">
      <c r="A162" s="22">
        <v>1</v>
      </c>
    </row>
    <row r="163" spans="1:1" x14ac:dyDescent="0.25">
      <c r="A163" s="22" t="s">
        <v>32</v>
      </c>
    </row>
    <row r="164" spans="1:1" x14ac:dyDescent="0.25">
      <c r="A164" s="22" t="s">
        <v>63</v>
      </c>
    </row>
    <row r="165" spans="1:1" x14ac:dyDescent="0.25">
      <c r="A165" s="22" t="s">
        <v>64</v>
      </c>
    </row>
    <row r="166" spans="1:1" x14ac:dyDescent="0.25">
      <c r="A166" s="22" t="s">
        <v>65</v>
      </c>
    </row>
    <row r="167" spans="1:1" x14ac:dyDescent="0.25">
      <c r="A167" s="22" t="s">
        <v>17</v>
      </c>
    </row>
    <row r="168" spans="1:1" x14ac:dyDescent="0.25">
      <c r="A168" s="22" t="s">
        <v>18</v>
      </c>
    </row>
    <row r="169" spans="1:1" x14ac:dyDescent="0.25">
      <c r="A169" s="22">
        <v>8773</v>
      </c>
    </row>
    <row r="170" spans="1:1" x14ac:dyDescent="0.25">
      <c r="A170" s="22" t="s">
        <v>66</v>
      </c>
    </row>
    <row r="171" spans="1:1" x14ac:dyDescent="0.25">
      <c r="A171" s="22" t="s">
        <v>67</v>
      </c>
    </row>
    <row r="172" spans="1:1" x14ac:dyDescent="0.25">
      <c r="A172" s="22" t="s">
        <v>10</v>
      </c>
    </row>
    <row r="173" spans="1:1" x14ac:dyDescent="0.25">
      <c r="A173" s="23">
        <v>46129</v>
      </c>
    </row>
    <row r="174" spans="1:1" x14ac:dyDescent="0.25">
      <c r="A174" s="22" t="s">
        <v>68</v>
      </c>
    </row>
    <row r="175" spans="1:1" x14ac:dyDescent="0.25">
      <c r="A175" s="22" t="s">
        <v>69</v>
      </c>
    </row>
    <row r="176" spans="1:1" x14ac:dyDescent="0.25">
      <c r="A176" s="22">
        <v>1</v>
      </c>
    </row>
    <row r="177" spans="1:1" x14ac:dyDescent="0.25">
      <c r="A177" s="22" t="s">
        <v>70</v>
      </c>
    </row>
    <row r="178" spans="1:1" x14ac:dyDescent="0.25">
      <c r="A178" s="22" t="s">
        <v>71</v>
      </c>
    </row>
    <row r="179" spans="1:1" x14ac:dyDescent="0.25">
      <c r="A179" s="22" t="s">
        <v>72</v>
      </c>
    </row>
    <row r="180" spans="1:1" x14ac:dyDescent="0.25">
      <c r="A180" s="22" t="s">
        <v>73</v>
      </c>
    </row>
    <row r="181" spans="1:1" x14ac:dyDescent="0.25">
      <c r="A181" s="22" t="s">
        <v>17</v>
      </c>
    </row>
    <row r="182" spans="1:1" x14ac:dyDescent="0.25">
      <c r="A182" s="22" t="s">
        <v>74</v>
      </c>
    </row>
    <row r="183" spans="1:1" x14ac:dyDescent="0.25">
      <c r="A183" s="22">
        <v>13849</v>
      </c>
    </row>
    <row r="184" spans="1:1" x14ac:dyDescent="0.25">
      <c r="A184" s="22" t="s">
        <v>19</v>
      </c>
    </row>
    <row r="185" spans="1:1" x14ac:dyDescent="0.25">
      <c r="A185" s="22" t="s">
        <v>20</v>
      </c>
    </row>
    <row r="186" spans="1:1" x14ac:dyDescent="0.25">
      <c r="A186" s="22" t="s">
        <v>10</v>
      </c>
    </row>
    <row r="187" spans="1:1" x14ac:dyDescent="0.25">
      <c r="A187" s="23">
        <v>46129</v>
      </c>
    </row>
    <row r="188" spans="1:1" x14ac:dyDescent="0.25">
      <c r="A188" s="22" t="s">
        <v>21</v>
      </c>
    </row>
    <row r="189" spans="1:1" x14ac:dyDescent="0.25">
      <c r="A189" s="22" t="s">
        <v>22</v>
      </c>
    </row>
    <row r="190" spans="1:1" x14ac:dyDescent="0.25">
      <c r="A190" s="22">
        <v>1</v>
      </c>
    </row>
    <row r="191" spans="1:1" x14ac:dyDescent="0.25">
      <c r="A191" s="22" t="s">
        <v>23</v>
      </c>
    </row>
    <row r="192" spans="1:1" x14ac:dyDescent="0.25">
      <c r="A192" s="22" t="s">
        <v>75</v>
      </c>
    </row>
    <row r="193" spans="1:1" x14ac:dyDescent="0.25">
      <c r="A193" s="22" t="s">
        <v>76</v>
      </c>
    </row>
    <row r="194" spans="1:1" x14ac:dyDescent="0.25">
      <c r="A194" s="22" t="s">
        <v>77</v>
      </c>
    </row>
    <row r="195" spans="1:1" x14ac:dyDescent="0.25">
      <c r="A195" s="22" t="s">
        <v>17</v>
      </c>
    </row>
    <row r="196" spans="1:1" x14ac:dyDescent="0.25">
      <c r="A196" s="22" t="s">
        <v>18</v>
      </c>
    </row>
    <row r="197" spans="1:1" x14ac:dyDescent="0.25">
      <c r="A197" s="24" t="s">
        <v>78</v>
      </c>
    </row>
    <row r="198" spans="1:1" x14ac:dyDescent="0.25">
      <c r="A198" s="24" t="s">
        <v>79</v>
      </c>
    </row>
    <row r="199" spans="1:1" x14ac:dyDescent="0.25">
      <c r="A199" s="24" t="s">
        <v>80</v>
      </c>
    </row>
    <row r="200" spans="1:1" x14ac:dyDescent="0.25">
      <c r="A200" s="24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{worksheet}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Leidiane Silva</cp:lastModifiedBy>
  <cp:lastPrinted>2026-04-09T13:52:59Z</cp:lastPrinted>
  <dcterms:created xsi:type="dcterms:W3CDTF">2026-04-09T13:14:29Z</dcterms:created>
  <dcterms:modified xsi:type="dcterms:W3CDTF">2026-04-23T13:44:06Z</dcterms:modified>
</cp:coreProperties>
</file>